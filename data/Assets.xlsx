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ocks" sheetId="1" state="visible" r:id="rId3"/>
    <sheet name="Mappings" sheetId="2" state="visible" r:id="rId4"/>
    <sheet name="BondsDividends" sheetId="3" state="visible" r:id="rId5"/>
    <sheet name="IntDiv" sheetId="4" state="visible" r:id="rId6"/>
    <sheet name="Bonds" sheetId="5" state="visible" r:id="rId7"/>
  </sheets>
  <definedNames>
    <definedName function="false" hidden="true" localSheetId="0" name="_xlnm._FilterDatabase" vbProcedure="false">Stocks!$A$1:$H$23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<sst xmlns="http://schemas.openxmlformats.org/spreadsheetml/2006/main" count="184" uniqueCount="54">
  <si>
    <t xml:space="preserve">Date</t>
  </si>
  <si>
    <t xml:space="preserve">Ticker</t>
  </si>
  <si>
    <t xml:space="preserve">Asset Type</t>
  </si>
  <si>
    <t xml:space="preserve">Quantity</t>
  </si>
  <si>
    <t xml:space="preserve">Price</t>
  </si>
  <si>
    <t xml:space="preserve">Currency</t>
  </si>
  <si>
    <t xml:space="preserve">Investment</t>
  </si>
  <si>
    <t xml:space="preserve">Asset Name</t>
  </si>
  <si>
    <t xml:space="preserve">CSSPX.MI</t>
  </si>
  <si>
    <t xml:space="preserve">Stock</t>
  </si>
  <si>
    <t xml:space="preserve">EUR</t>
  </si>
  <si>
    <t xml:space="preserve">EUNL.DE</t>
  </si>
  <si>
    <t xml:space="preserve">APC.DE</t>
  </si>
  <si>
    <t xml:space="preserve">ETF</t>
  </si>
  <si>
    <t xml:space="preserve">XEON.DE</t>
  </si>
  <si>
    <t xml:space="preserve">XEOD.DE</t>
  </si>
  <si>
    <t xml:space="preserve">VWCE.DE</t>
  </si>
  <si>
    <t xml:space="preserve">IQQQ.DE</t>
  </si>
  <si>
    <t xml:space="preserve">NAQ.F</t>
  </si>
  <si>
    <t xml:space="preserve">1GOOGL.MI</t>
  </si>
  <si>
    <t xml:space="preserve">Google</t>
  </si>
  <si>
    <t xml:space="preserve">Nasdaq</t>
  </si>
  <si>
    <t xml:space="preserve">iShares Core S&amp;P 500 UCITS ETF USD (Acc)</t>
  </si>
  <si>
    <t xml:space="preserve">Xtrackers II EUR Overnight Rate Swap UCITS ETF 1C</t>
  </si>
  <si>
    <t xml:space="preserve">Xtrackers II EUR Overnight Rate Swap UCITS ETF 1D</t>
  </si>
  <si>
    <t xml:space="preserve">iShares Global Water UCITS ETF USD (Dist)</t>
  </si>
  <si>
    <t xml:space="preserve">iShares Core MSCI World UCITS ETF USD (Acc)</t>
  </si>
  <si>
    <t xml:space="preserve">Vanguard FTSE All-World UCITS ETF USD Accumulation</t>
  </si>
  <si>
    <t xml:space="preserve">Apple Inc.</t>
  </si>
  <si>
    <t xml:space="preserve">WKN</t>
  </si>
  <si>
    <t xml:space="preserve">Amount</t>
  </si>
  <si>
    <t xml:space="preserve">A19387</t>
  </si>
  <si>
    <t xml:space="preserve">A3LK3C</t>
  </si>
  <si>
    <t xml:space="preserve">A3LC3Y</t>
  </si>
  <si>
    <t xml:space="preserve">A2YN0A</t>
  </si>
  <si>
    <t xml:space="preserve">Asset</t>
  </si>
  <si>
    <t xml:space="preserve">TR</t>
  </si>
  <si>
    <t xml:space="preserve">Euro Swap</t>
  </si>
  <si>
    <t xml:space="preserve">ISIN</t>
  </si>
  <si>
    <t xml:space="preserve">Name</t>
  </si>
  <si>
    <t xml:space="preserve">Bond Type</t>
  </si>
  <si>
    <t xml:space="preserve">Maturity</t>
  </si>
  <si>
    <t xml:space="preserve">Face Value</t>
  </si>
  <si>
    <t xml:space="preserve">Invested</t>
  </si>
  <si>
    <t xml:space="preserve">Coupon Redemption</t>
  </si>
  <si>
    <t xml:space="preserve">IT0005530032</t>
  </si>
  <si>
    <t xml:space="preserve">Italy</t>
  </si>
  <si>
    <t xml:space="preserve">Government</t>
  </si>
  <si>
    <t xml:space="preserve">IT0005340929</t>
  </si>
  <si>
    <t xml:space="preserve">XS2282095970</t>
  </si>
  <si>
    <t xml:space="preserve">Wolkswagen Leasing</t>
  </si>
  <si>
    <t xml:space="preserve">Corporate</t>
  </si>
  <si>
    <t xml:space="preserve">XS2648489388</t>
  </si>
  <si>
    <t xml:space="preserve">Avis Budget Finance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</si>
</sst>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mm/dd/yyyy"/>
    <numFmt numFmtId="167" formatCode="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44320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44320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3205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42"/>
    <col collapsed="false" customWidth="true" hidden="false" outlineLevel="0" max="4" min="3" style="1" width="9.93"/>
    <col collapsed="false" customWidth="true" hidden="false" outlineLevel="0" max="5" min="5" style="1" width="5.52"/>
    <col collapsed="false" customWidth="true" hidden="false" outlineLevel="0" max="6" min="6" style="1" width="8.72"/>
    <col collapsed="false" customWidth="true" hidden="false" outlineLevel="0" max="7" min="7" style="1" width="10.25"/>
    <col collapsed="false" customWidth="true" hidden="false" outlineLevel="0" max="8" min="8" style="1" width="47.59"/>
    <col collapsed="false" customWidth="true" hidden="false" outlineLevel="0" max="10" min="10" style="1" width="10.8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n">
        <v>45663</v>
      </c>
      <c r="B2" s="4" t="s">
        <v>8</v>
      </c>
      <c r="C2" s="4" t="s">
        <v>9</v>
      </c>
      <c r="D2" s="2" t="n">
        <v>0.3257696</v>
      </c>
      <c r="F2" s="2" t="s">
        <v>10</v>
      </c>
      <c r="G2" s="1" t="n">
        <v>200</v>
      </c>
      <c r="H2" s="1" t="str">
        <f aca="false">_xlfn.XLOOKUP(B2,Mappings!$A$2:$A$10,Mappings!$B$2:$B$10)</f>
        <v>Google</v>
      </c>
    </row>
    <row r="3" customFormat="false" ht="12.8" hidden="false" customHeight="false" outlineLevel="0" collapsed="false">
      <c r="A3" s="3" t="n">
        <v>45663</v>
      </c>
      <c r="B3" s="1" t="s">
        <v>11</v>
      </c>
      <c r="C3" s="4" t="s">
        <v>9</v>
      </c>
      <c r="D3" s="1" t="n">
        <v>1.889287</v>
      </c>
      <c r="F3" s="1" t="s">
        <v>10</v>
      </c>
      <c r="G3" s="1" t="n">
        <v>200</v>
      </c>
      <c r="H3" s="1" t="str">
        <f aca="false">_xlfn.XLOOKUP(B3,Mappings!$A$2:$A$10,Mappings!$B$2:$B$10)</f>
        <v>Nasdaq</v>
      </c>
    </row>
    <row r="4" customFormat="false" ht="12.8" hidden="false" customHeight="false" outlineLevel="0" collapsed="false">
      <c r="A4" s="3" t="n">
        <v>45663</v>
      </c>
      <c r="B4" s="1" t="s">
        <v>12</v>
      </c>
      <c r="C4" s="4" t="s">
        <v>13</v>
      </c>
      <c r="D4" s="1" t="n">
        <v>0.844772</v>
      </c>
      <c r="F4" s="1" t="s">
        <v>10</v>
      </c>
      <c r="G4" s="1" t="n">
        <v>200</v>
      </c>
      <c r="H4" s="1" t="str">
        <f aca="false">_xlfn.XLOOKUP(B4,Mappings!$A$2:$A$10,Mappings!$B$2:$B$10)</f>
        <v>iShares Core S&amp;P 500 UCITS ETF USD (Acc)</v>
      </c>
    </row>
    <row r="5" customFormat="false" ht="12.8" hidden="false" customHeight="false" outlineLevel="0" collapsed="false">
      <c r="A5" s="3" t="n">
        <v>45686</v>
      </c>
      <c r="B5" s="4" t="s">
        <v>14</v>
      </c>
      <c r="C5" s="4" t="s">
        <v>13</v>
      </c>
      <c r="D5" s="1" t="n">
        <v>3.927853</v>
      </c>
      <c r="F5" s="1" t="s">
        <v>10</v>
      </c>
      <c r="G5" s="1" t="n">
        <v>500</v>
      </c>
      <c r="H5" s="1" t="str">
        <f aca="false">_xlfn.XLOOKUP(B5,Mappings!$A$2:$A$10,Mappings!$B$2:$B$10)</f>
        <v>Xtrackers II EUR Overnight Rate Swap UCITS ETF 1C</v>
      </c>
    </row>
    <row r="6" customFormat="false" ht="12.8" hidden="false" customHeight="false" outlineLevel="0" collapsed="false">
      <c r="A6" s="3" t="n">
        <v>45686</v>
      </c>
      <c r="B6" s="4" t="s">
        <v>15</v>
      </c>
      <c r="C6" s="4" t="s">
        <v>13</v>
      </c>
      <c r="D6" s="1" t="n">
        <v>3.927853</v>
      </c>
      <c r="F6" s="1" t="s">
        <v>10</v>
      </c>
      <c r="G6" s="1" t="n">
        <v>500</v>
      </c>
      <c r="H6" s="1" t="str">
        <f aca="false">_xlfn.XLOOKUP(B6,Mappings!$A$2:$A$10,Mappings!$B$2:$B$10)</f>
        <v>Xtrackers II EUR Overnight Rate Swap UCITS ETF 1D</v>
      </c>
    </row>
    <row r="7" customFormat="false" ht="12.8" hidden="false" customHeight="false" outlineLevel="0" collapsed="false">
      <c r="A7" s="3" t="n">
        <v>45691</v>
      </c>
      <c r="B7" s="4" t="s">
        <v>8</v>
      </c>
      <c r="C7" s="4" t="s">
        <v>9</v>
      </c>
      <c r="D7" s="2" t="n">
        <v>0.811661</v>
      </c>
      <c r="F7" s="2" t="s">
        <v>10</v>
      </c>
      <c r="G7" s="1" t="n">
        <v>500</v>
      </c>
      <c r="H7" s="1" t="str">
        <f aca="false">_xlfn.XLOOKUP(B7,Mappings!$A$2:$A$10,Mappings!$B$2:$B$10)</f>
        <v>Google</v>
      </c>
    </row>
    <row r="8" customFormat="false" ht="12.8" hidden="false" customHeight="false" outlineLevel="0" collapsed="false">
      <c r="A8" s="3" t="n">
        <v>45691</v>
      </c>
      <c r="B8" s="1" t="s">
        <v>16</v>
      </c>
      <c r="C8" s="4" t="s">
        <v>13</v>
      </c>
      <c r="D8" s="1" t="n">
        <v>3.631873</v>
      </c>
      <c r="F8" s="1" t="s">
        <v>10</v>
      </c>
      <c r="G8" s="1" t="n">
        <v>500</v>
      </c>
      <c r="H8" s="1" t="str">
        <f aca="false">_xlfn.XLOOKUP(B8,Mappings!$A$2:$A$10,Mappings!$B$2:$B$10)</f>
        <v>iShares Global Water UCITS ETF USD (Dist)</v>
      </c>
    </row>
    <row r="9" customFormat="false" ht="12.8" hidden="false" customHeight="false" outlineLevel="0" collapsed="false">
      <c r="A9" s="3" t="n">
        <v>45705</v>
      </c>
      <c r="B9" s="1" t="s">
        <v>17</v>
      </c>
      <c r="C9" s="4" t="s">
        <v>13</v>
      </c>
      <c r="D9" s="1" t="n">
        <v>1.576789</v>
      </c>
      <c r="F9" s="1" t="s">
        <v>10</v>
      </c>
      <c r="G9" s="1" t="n">
        <v>100</v>
      </c>
      <c r="H9" s="1" t="str">
        <f aca="false">_xlfn.XLOOKUP(B9,Mappings!$A$2:$A$10,Mappings!$B$2:$B$10)</f>
        <v>iShares Core MSCI World UCITS ETF USD (Acc)</v>
      </c>
    </row>
    <row r="10" customFormat="false" ht="12.8" hidden="false" customHeight="false" outlineLevel="0" collapsed="false">
      <c r="A10" s="3" t="n">
        <v>45719</v>
      </c>
      <c r="B10" s="4" t="s">
        <v>8</v>
      </c>
      <c r="C10" s="4" t="s">
        <v>9</v>
      </c>
      <c r="D10" s="2" t="n">
        <v>0.82949</v>
      </c>
      <c r="F10" s="2" t="s">
        <v>10</v>
      </c>
      <c r="G10" s="1" t="n">
        <v>500</v>
      </c>
      <c r="H10" s="1" t="str">
        <f aca="false">_xlfn.XLOOKUP(B10,Mappings!$A$2:$A$10,Mappings!$B$2:$B$10)</f>
        <v>Google</v>
      </c>
    </row>
    <row r="11" customFormat="false" ht="12.8" hidden="false" customHeight="false" outlineLevel="0" collapsed="false">
      <c r="A11" s="3" t="n">
        <v>45733</v>
      </c>
      <c r="B11" s="1" t="s">
        <v>17</v>
      </c>
      <c r="C11" s="4" t="s">
        <v>13</v>
      </c>
      <c r="D11" s="1" t="n">
        <v>1.620745</v>
      </c>
      <c r="F11" s="1" t="s">
        <v>10</v>
      </c>
      <c r="G11" s="1" t="n">
        <v>100</v>
      </c>
      <c r="H11" s="1" t="str">
        <f aca="false">_xlfn.XLOOKUP(B11,Mappings!$A$2:$A$10,Mappings!$B$2:$B$10)</f>
        <v>iShares Core MSCI World UCITS ETF USD (Acc)</v>
      </c>
    </row>
    <row r="12" customFormat="false" ht="12.8" hidden="false" customHeight="false" outlineLevel="0" collapsed="false">
      <c r="A12" s="3" t="n">
        <v>45749</v>
      </c>
      <c r="B12" s="4" t="s">
        <v>8</v>
      </c>
      <c r="C12" s="4" t="s">
        <v>9</v>
      </c>
      <c r="D12" s="2" t="n">
        <v>0.907803</v>
      </c>
      <c r="F12" s="2" t="s">
        <v>10</v>
      </c>
      <c r="G12" s="1" t="n">
        <v>500</v>
      </c>
      <c r="H12" s="1" t="str">
        <f aca="false">_xlfn.XLOOKUP(B12,Mappings!$A$2:$A$10,Mappings!$B$2:$B$10)</f>
        <v>Google</v>
      </c>
    </row>
    <row r="13" customFormat="false" ht="12.8" hidden="false" customHeight="false" outlineLevel="0" collapsed="false">
      <c r="A13" s="3" t="n">
        <v>45751</v>
      </c>
      <c r="B13" s="2" t="s">
        <v>18</v>
      </c>
      <c r="C13" s="4" t="s">
        <v>9</v>
      </c>
      <c r="D13" s="2" t="n">
        <v>15.243902</v>
      </c>
      <c r="F13" s="2" t="s">
        <v>10</v>
      </c>
      <c r="G13" s="1" t="n">
        <v>1000.3</v>
      </c>
      <c r="H13" s="1" t="str">
        <f aca="false">_xlfn.XLOOKUP(B13,Mappings!$A$2:$A$10,Mappings!$B$2:$B$10)</f>
        <v>Vanguard FTSE All-World UCITS ETF USD Accumulation</v>
      </c>
    </row>
    <row r="14" customFormat="false" ht="12.8" hidden="false" customHeight="false" outlineLevel="0" collapsed="false">
      <c r="A14" s="3" t="n">
        <v>45763</v>
      </c>
      <c r="B14" s="1" t="s">
        <v>17</v>
      </c>
      <c r="C14" s="4" t="s">
        <v>13</v>
      </c>
      <c r="D14" s="1" t="n">
        <v>1.717327</v>
      </c>
      <c r="F14" s="1" t="s">
        <v>10</v>
      </c>
      <c r="G14" s="1" t="n">
        <v>100</v>
      </c>
      <c r="H14" s="1" t="str">
        <f aca="false">_xlfn.XLOOKUP(B14,Mappings!$A$2:$A$10,Mappings!$B$2:$B$10)</f>
        <v>iShares Core MSCI World UCITS ETF USD (Acc)</v>
      </c>
    </row>
    <row r="15" customFormat="false" ht="12.8" hidden="false" customHeight="false" outlineLevel="0" collapsed="false">
      <c r="A15" s="3" t="n">
        <v>45763</v>
      </c>
      <c r="B15" s="1" t="s">
        <v>17</v>
      </c>
      <c r="C15" s="4" t="s">
        <v>13</v>
      </c>
      <c r="D15" s="1" t="n">
        <v>1.576292</v>
      </c>
      <c r="E15" s="1" t="n">
        <v>63.65</v>
      </c>
      <c r="F15" s="1" t="s">
        <v>10</v>
      </c>
      <c r="G15" s="1" t="n">
        <v>100</v>
      </c>
      <c r="H15" s="1" t="str">
        <f aca="false">_xlfn.XLOOKUP(B15,Mappings!$A$2:$A$10,Mappings!$B$2:$B$10)</f>
        <v>iShares Core MSCI World UCITS ETF USD (Acc)</v>
      </c>
    </row>
    <row r="16" customFormat="false" ht="12.8" hidden="false" customHeight="false" outlineLevel="0" collapsed="false">
      <c r="A16" s="3" t="n">
        <v>45779</v>
      </c>
      <c r="B16" s="2" t="s">
        <v>19</v>
      </c>
      <c r="C16" s="4" t="s">
        <v>9</v>
      </c>
      <c r="D16" s="2" t="n">
        <v>0.346308</v>
      </c>
      <c r="F16" s="2" t="s">
        <v>10</v>
      </c>
      <c r="G16" s="1" t="n">
        <v>50</v>
      </c>
      <c r="H16" s="1" t="str">
        <f aca="false">_xlfn.XLOOKUP(B16,Mappings!$A$2:$A$10,Mappings!$B$2:$B$10)</f>
        <v>Apple Inc.</v>
      </c>
    </row>
    <row r="17" customFormat="false" ht="12.8" hidden="false" customHeight="false" outlineLevel="0" collapsed="false">
      <c r="A17" s="3" t="n">
        <v>45779</v>
      </c>
      <c r="B17" s="2" t="s">
        <v>18</v>
      </c>
      <c r="C17" s="4" t="s">
        <v>13</v>
      </c>
      <c r="D17" s="2" t="n">
        <v>0.73303</v>
      </c>
      <c r="F17" s="2" t="s">
        <v>10</v>
      </c>
      <c r="G17" s="1" t="n">
        <v>50</v>
      </c>
      <c r="H17" s="1" t="str">
        <f aca="false">_xlfn.XLOOKUP(B17,Mappings!$A$2:$A$10,Mappings!$B$2:$B$10)</f>
        <v>Vanguard FTSE All-World UCITS ETF USD Accumulation</v>
      </c>
    </row>
    <row r="18" customFormat="false" ht="12.8" hidden="false" customHeight="false" outlineLevel="0" collapsed="false">
      <c r="A18" s="3" t="n">
        <v>45779</v>
      </c>
      <c r="B18" s="4" t="s">
        <v>8</v>
      </c>
      <c r="C18" s="4" t="s">
        <v>9</v>
      </c>
      <c r="D18" s="2" t="n">
        <v>0.94568</v>
      </c>
      <c r="F18" s="2" t="s">
        <v>10</v>
      </c>
      <c r="G18" s="1" t="n">
        <v>500</v>
      </c>
      <c r="H18" s="1" t="str">
        <f aca="false">_xlfn.XLOOKUP(B18,Mappings!$A$2:$A$10,Mappings!$B$2:$B$10)</f>
        <v>Google</v>
      </c>
    </row>
    <row r="19" customFormat="false" ht="12.8" hidden="false" customHeight="false" outlineLevel="0" collapsed="false">
      <c r="A19" s="3" t="n">
        <v>45779</v>
      </c>
      <c r="B19" s="1" t="s">
        <v>16</v>
      </c>
      <c r="C19" s="4" t="s">
        <v>13</v>
      </c>
      <c r="D19" s="1" t="n">
        <v>4.032908</v>
      </c>
      <c r="F19" s="1" t="s">
        <v>10</v>
      </c>
      <c r="G19" s="1" t="n">
        <v>500</v>
      </c>
      <c r="H19" s="1" t="str">
        <f aca="false">_xlfn.XLOOKUP(B19,Mappings!$A$2:$A$10,Mappings!$B$2:$B$10)</f>
        <v>iShares Global Water UCITS ETF USD (Dist)</v>
      </c>
    </row>
    <row r="20" customFormat="false" ht="12.8" hidden="false" customHeight="true" outlineLevel="0" collapsed="false">
      <c r="A20" s="3" t="n">
        <v>45779</v>
      </c>
      <c r="B20" s="1" t="s">
        <v>12</v>
      </c>
      <c r="C20" s="4" t="s">
        <v>13</v>
      </c>
      <c r="D20" s="1" t="n">
        <v>0.272538</v>
      </c>
      <c r="E20" s="1" t="n">
        <v>183.46</v>
      </c>
      <c r="F20" s="1" t="s">
        <v>10</v>
      </c>
      <c r="G20" s="1" t="n">
        <v>50</v>
      </c>
      <c r="H20" s="1" t="str">
        <f aca="false">_xlfn.XLOOKUP(B20,Mappings!$A$2:$A$10,Mappings!$B$2:$B$10)</f>
        <v>iShares Core S&amp;P 500 UCITS ETF USD (Acc)</v>
      </c>
    </row>
    <row r="21" customFormat="false" ht="12.8" hidden="false" customHeight="true" outlineLevel="0" collapsed="false">
      <c r="A21" s="3" t="n">
        <v>45793</v>
      </c>
      <c r="B21" s="1" t="s">
        <v>12</v>
      </c>
      <c r="C21" s="4" t="s">
        <v>13</v>
      </c>
      <c r="D21" s="5" t="n">
        <v>0.264998</v>
      </c>
      <c r="E21" s="1" t="n">
        <v>188.68</v>
      </c>
      <c r="F21" s="1" t="s">
        <v>10</v>
      </c>
      <c r="G21" s="1" t="n">
        <v>50</v>
      </c>
      <c r="H21" s="1" t="str">
        <f aca="false">_xlfn.XLOOKUP(B21,Mappings!$A$2:$A$10,Mappings!$B$2:$B$10)</f>
        <v>iShares Core S&amp;P 500 UCITS ETF USD (Acc)</v>
      </c>
    </row>
    <row r="22" customFormat="false" ht="12.8" hidden="false" customHeight="true" outlineLevel="0" collapsed="false">
      <c r="A22" s="3" t="n">
        <v>45793</v>
      </c>
      <c r="B22" s="2" t="s">
        <v>18</v>
      </c>
      <c r="C22" s="4" t="s">
        <v>13</v>
      </c>
      <c r="D22" s="1" t="n">
        <v>0.6854</v>
      </c>
      <c r="E22" s="1" t="n">
        <v>72.95</v>
      </c>
      <c r="F22" s="1" t="s">
        <v>10</v>
      </c>
      <c r="G22" s="1" t="n">
        <v>50</v>
      </c>
      <c r="H22" s="1" t="str">
        <f aca="false">_xlfn.XLOOKUP(B22,Mappings!$A$2:$A$10,Mappings!$B$2:$B$10)</f>
        <v>Vanguard FTSE All-World UCITS ETF USD Accumulation</v>
      </c>
    </row>
  </sheetData>
  <autoFilter ref="A1:H2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56.34"/>
  </cols>
  <sheetData>
    <row r="1" customFormat="false" ht="12.8" hidden="false" customHeight="false" outlineLevel="0" collapsed="false">
      <c r="A1" s="1" t="s">
        <v>1</v>
      </c>
      <c r="B1" s="1" t="s">
        <v>7</v>
      </c>
    </row>
    <row r="2" customFormat="false" ht="12.8" hidden="false" customHeight="false" outlineLevel="0" collapsed="false">
      <c r="A2" s="1" t="str">
        <f aca="false" t="array" ref="A2:A10">_xlfn.UNIQUE(Stocks!B2:B19)</f>
        <v>CSSPX.MI</v>
      </c>
      <c r="B2" s="1" t="s">
        <v>20</v>
      </c>
    </row>
    <row r="3" customFormat="false" ht="12.8" hidden="false" customHeight="false" outlineLevel="0" collapsed="false">
      <c r="A3" s="1" t="str">
        <v>EUNL.DE</v>
      </c>
      <c r="B3" s="1" t="s">
        <v>21</v>
      </c>
    </row>
    <row r="4" customFormat="false" ht="15.75" hidden="false" customHeight="true" outlineLevel="0" collapsed="false">
      <c r="A4" s="1" t="str">
        <v>APC.DE</v>
      </c>
      <c r="B4" s="4" t="s">
        <v>22</v>
      </c>
    </row>
    <row r="5" customFormat="false" ht="12.8" hidden="false" customHeight="false" outlineLevel="0" collapsed="false">
      <c r="A5" s="1" t="str">
        <v>XEON.DE</v>
      </c>
      <c r="B5" s="1" t="s">
        <v>23</v>
      </c>
    </row>
    <row r="6" customFormat="false" ht="12.8" hidden="false" customHeight="false" outlineLevel="0" collapsed="false">
      <c r="A6" s="1" t="str">
        <v>XEOD.DE</v>
      </c>
      <c r="B6" s="1" t="s">
        <v>24</v>
      </c>
    </row>
    <row r="7" customFormat="false" ht="12.8" hidden="false" customHeight="false" outlineLevel="0" collapsed="false">
      <c r="A7" s="1" t="str">
        <v>VWCE.DE</v>
      </c>
      <c r="B7" s="1" t="s">
        <v>25</v>
      </c>
    </row>
    <row r="8" customFormat="false" ht="12.8" hidden="false" customHeight="false" outlineLevel="0" collapsed="false">
      <c r="A8" s="1" t="str">
        <v>IQQQ.DE</v>
      </c>
      <c r="B8" s="1" t="s">
        <v>26</v>
      </c>
    </row>
    <row r="9" customFormat="false" ht="12.8" hidden="false" customHeight="false" outlineLevel="0" collapsed="false">
      <c r="A9" s="1" t="str">
        <v>NAQ.F</v>
      </c>
      <c r="B9" s="1" t="s">
        <v>27</v>
      </c>
    </row>
    <row r="10" customFormat="false" ht="12.8" hidden="false" customHeight="false" outlineLevel="0" collapsed="false">
      <c r="A10" s="1" t="str">
        <v>1GOOGL.MI</v>
      </c>
      <c r="B10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1" width="17.4"/>
  </cols>
  <sheetData>
    <row r="1" customFormat="false" ht="12.8" hidden="false" customHeight="false" outlineLevel="0" collapsed="false">
      <c r="A1" s="2" t="s">
        <v>29</v>
      </c>
      <c r="B1" s="2" t="s">
        <v>0</v>
      </c>
      <c r="C1" s="2" t="s">
        <v>30</v>
      </c>
    </row>
    <row r="2" customFormat="false" ht="12.8" hidden="false" customHeight="false" outlineLevel="0" collapsed="false">
      <c r="A2" s="1" t="s">
        <v>31</v>
      </c>
      <c r="B2" s="6" t="n">
        <v>45809</v>
      </c>
      <c r="C2" s="1" t="n">
        <v>6.94</v>
      </c>
    </row>
    <row r="3" customFormat="false" ht="12.8" hidden="false" customHeight="false" outlineLevel="0" collapsed="false">
      <c r="A3" s="1" t="s">
        <v>32</v>
      </c>
      <c r="B3" s="6" t="n">
        <v>45869</v>
      </c>
      <c r="C3" s="1" t="n">
        <v>17.6</v>
      </c>
    </row>
    <row r="4" customFormat="false" ht="12.8" hidden="false" customHeight="false" outlineLevel="0" collapsed="false">
      <c r="A4" s="1" t="s">
        <v>33</v>
      </c>
      <c r="B4" s="6" t="n">
        <v>45901</v>
      </c>
      <c r="C4" s="1" t="n">
        <v>55.47</v>
      </c>
    </row>
    <row r="5" customFormat="false" ht="12.8" hidden="false" customHeight="true" outlineLevel="0" collapsed="false">
      <c r="A5" s="1" t="s">
        <v>31</v>
      </c>
      <c r="B5" s="6" t="n">
        <v>45992</v>
      </c>
      <c r="C5" s="1" t="n">
        <v>6.94</v>
      </c>
    </row>
    <row r="6" customFormat="false" ht="12.8" hidden="false" customHeight="true" outlineLevel="0" collapsed="false">
      <c r="A6" s="1" t="s">
        <v>34</v>
      </c>
      <c r="B6" s="6" t="n">
        <v>46034</v>
      </c>
      <c r="C6" s="1" t="n">
        <v>5</v>
      </c>
    </row>
    <row r="7" customFormat="false" ht="12.8" hidden="false" customHeight="true" outlineLevel="0" collapsed="false">
      <c r="A7" s="1" t="s">
        <v>32</v>
      </c>
      <c r="B7" s="6" t="n">
        <v>46053</v>
      </c>
      <c r="C7" s="1" t="n">
        <v>17.6</v>
      </c>
    </row>
    <row r="8" customFormat="false" ht="12.8" hidden="false" customHeight="true" outlineLevel="0" collapsed="false">
      <c r="A8" s="1" t="s">
        <v>33</v>
      </c>
      <c r="B8" s="6" t="n">
        <v>46082</v>
      </c>
      <c r="C8" s="1" t="n">
        <v>55.47</v>
      </c>
    </row>
    <row r="9" customFormat="false" ht="12.8" hidden="false" customHeight="true" outlineLevel="0" collapsed="false">
      <c r="A9" s="1" t="s">
        <v>31</v>
      </c>
      <c r="B9" s="6" t="n">
        <v>46174</v>
      </c>
      <c r="C9" s="1" t="n">
        <v>6.94</v>
      </c>
    </row>
    <row r="10" customFormat="false" ht="12.8" hidden="false" customHeight="true" outlineLevel="0" collapsed="false">
      <c r="A10" s="1" t="s">
        <v>32</v>
      </c>
      <c r="B10" s="6" t="n">
        <v>46234</v>
      </c>
      <c r="C10" s="1" t="n">
        <v>17.6</v>
      </c>
    </row>
    <row r="11" customFormat="false" ht="12.8" hidden="false" customHeight="true" outlineLevel="0" collapsed="false">
      <c r="A11" s="1" t="s">
        <v>33</v>
      </c>
      <c r="B11" s="6" t="n">
        <v>46266</v>
      </c>
      <c r="C11" s="1" t="n">
        <v>55.47</v>
      </c>
    </row>
    <row r="12" customFormat="false" ht="12.8" hidden="false" customHeight="true" outlineLevel="0" collapsed="false">
      <c r="A12" s="1" t="s">
        <v>31</v>
      </c>
      <c r="B12" s="6" t="n">
        <v>46357</v>
      </c>
      <c r="C12" s="1" t="n">
        <v>6.94</v>
      </c>
    </row>
    <row r="13" customFormat="false" ht="12.8" hidden="false" customHeight="true" outlineLevel="0" collapsed="false">
      <c r="A13" s="1" t="s">
        <v>34</v>
      </c>
      <c r="B13" s="6" t="n">
        <v>46399</v>
      </c>
      <c r="C13" s="1" t="n">
        <v>5</v>
      </c>
    </row>
    <row r="14" customFormat="false" ht="12.8" hidden="false" customHeight="true" outlineLevel="0" collapsed="false">
      <c r="A14" s="1" t="s">
        <v>32</v>
      </c>
      <c r="B14" s="6" t="n">
        <v>46418</v>
      </c>
      <c r="C14" s="1" t="n">
        <v>17.6</v>
      </c>
    </row>
    <row r="15" customFormat="false" ht="12.8" hidden="false" customHeight="true" outlineLevel="0" collapsed="false">
      <c r="A15" s="1" t="s">
        <v>33</v>
      </c>
      <c r="B15" s="6" t="n">
        <v>46447</v>
      </c>
      <c r="C15" s="1" t="n">
        <v>55.47</v>
      </c>
    </row>
    <row r="16" customFormat="false" ht="12.8" hidden="false" customHeight="true" outlineLevel="0" collapsed="false">
      <c r="A16" s="1" t="s">
        <v>31</v>
      </c>
      <c r="B16" s="6" t="n">
        <v>46539</v>
      </c>
      <c r="C16" s="1" t="n">
        <v>6.94</v>
      </c>
    </row>
    <row r="17" customFormat="false" ht="12.8" hidden="false" customHeight="true" outlineLevel="0" collapsed="false">
      <c r="A17" s="1" t="s">
        <v>32</v>
      </c>
      <c r="B17" s="6" t="n">
        <v>46599</v>
      </c>
      <c r="C17" s="1" t="n">
        <v>17.6</v>
      </c>
    </row>
    <row r="18" customFormat="false" ht="12.8" hidden="false" customHeight="true" outlineLevel="0" collapsed="false">
      <c r="A18" s="1" t="s">
        <v>33</v>
      </c>
      <c r="B18" s="6" t="n">
        <v>46631</v>
      </c>
      <c r="C18" s="1" t="n">
        <v>55.47</v>
      </c>
    </row>
    <row r="19" customFormat="false" ht="12.8" hidden="false" customHeight="true" outlineLevel="0" collapsed="false">
      <c r="A19" s="1" t="s">
        <v>31</v>
      </c>
      <c r="B19" s="6" t="n">
        <v>46722</v>
      </c>
      <c r="C19" s="1" t="n">
        <v>6.94</v>
      </c>
    </row>
    <row r="20" customFormat="false" ht="12.8" hidden="false" customHeight="true" outlineLevel="0" collapsed="false">
      <c r="A20" s="1" t="s">
        <v>34</v>
      </c>
      <c r="B20" s="6" t="n">
        <v>46764</v>
      </c>
      <c r="C20" s="1" t="n">
        <v>5</v>
      </c>
    </row>
    <row r="21" customFormat="false" ht="12.8" hidden="false" customHeight="true" outlineLevel="0" collapsed="false">
      <c r="A21" s="1" t="s">
        <v>32</v>
      </c>
      <c r="B21" s="6" t="n">
        <v>46783</v>
      </c>
      <c r="C21" s="1" t="n">
        <v>17.6</v>
      </c>
    </row>
    <row r="22" customFormat="false" ht="12.8" hidden="false" customHeight="true" outlineLevel="0" collapsed="false">
      <c r="A22" s="1" t="s">
        <v>33</v>
      </c>
      <c r="B22" s="6" t="n">
        <v>46813</v>
      </c>
      <c r="C22" s="1" t="n">
        <v>55.47</v>
      </c>
    </row>
    <row r="23" customFormat="false" ht="12.8" hidden="false" customHeight="true" outlineLevel="0" collapsed="false">
      <c r="A23" s="1" t="s">
        <v>31</v>
      </c>
      <c r="B23" s="6" t="n">
        <v>46905</v>
      </c>
      <c r="C23" s="1" t="n">
        <v>6.94</v>
      </c>
    </row>
    <row r="24" customFormat="false" ht="12.8" hidden="false" customHeight="true" outlineLevel="0" collapsed="false">
      <c r="A24" s="1" t="s">
        <v>32</v>
      </c>
      <c r="B24" s="6" t="n">
        <v>46965</v>
      </c>
      <c r="C24" s="1" t="n">
        <v>17.6</v>
      </c>
    </row>
    <row r="25" customFormat="false" ht="12.8" hidden="false" customHeight="true" outlineLevel="0" collapsed="false">
      <c r="A25" s="1" t="s">
        <v>33</v>
      </c>
      <c r="B25" s="6" t="n">
        <v>46997</v>
      </c>
      <c r="C25" s="1" t="n">
        <v>55.47</v>
      </c>
    </row>
    <row r="26" customFormat="false" ht="12.8" hidden="false" customHeight="true" outlineLevel="0" collapsed="false">
      <c r="A26" s="1" t="s">
        <v>31</v>
      </c>
      <c r="B26" s="6" t="n">
        <v>47088</v>
      </c>
      <c r="C26" s="1" t="n">
        <v>6.94</v>
      </c>
    </row>
    <row r="27" customFormat="false" ht="12.8" hidden="false" customHeight="true" outlineLevel="0" collapsed="false">
      <c r="A27" s="1" t="s">
        <v>34</v>
      </c>
      <c r="B27" s="6" t="n">
        <v>47130</v>
      </c>
      <c r="C27" s="1" t="n">
        <v>5</v>
      </c>
    </row>
    <row r="28" customFormat="false" ht="12.8" hidden="false" customHeight="true" outlineLevel="0" collapsed="false">
      <c r="A28" s="1" t="s">
        <v>32</v>
      </c>
      <c r="B28" s="6" t="n">
        <v>47149</v>
      </c>
      <c r="C28" s="1" t="n">
        <v>17.6</v>
      </c>
    </row>
    <row r="29" customFormat="false" ht="12.8" hidden="false" customHeight="true" outlineLevel="0" collapsed="false">
      <c r="A29" s="1" t="s">
        <v>33</v>
      </c>
      <c r="B29" s="6" t="n">
        <v>47178</v>
      </c>
      <c r="C29" s="1" t="n">
        <v>55.47</v>
      </c>
    </row>
    <row r="30" customFormat="false" ht="12.8" hidden="false" customHeight="true" outlineLevel="0" collapsed="false">
      <c r="A30" s="1" t="s">
        <v>32</v>
      </c>
      <c r="B30" s="6" t="n">
        <v>47330</v>
      </c>
      <c r="C30" s="1" t="n">
        <v>17.6</v>
      </c>
    </row>
    <row r="31" customFormat="false" ht="12.8" hidden="false" customHeight="true" outlineLevel="0" collapsed="false">
      <c r="A31" s="1" t="s">
        <v>33</v>
      </c>
      <c r="B31" s="6" t="n">
        <v>47362</v>
      </c>
      <c r="C31" s="1" t="n">
        <v>55.47</v>
      </c>
    </row>
    <row r="32" customFormat="false" ht="12.8" hidden="false" customHeight="true" outlineLevel="0" collapsed="false">
      <c r="A32" s="1" t="s">
        <v>32</v>
      </c>
      <c r="B32" s="6" t="n">
        <v>47514</v>
      </c>
      <c r="C32" s="1" t="n">
        <v>17.6</v>
      </c>
    </row>
    <row r="33" customFormat="false" ht="12.8" hidden="false" customHeight="true" outlineLevel="0" collapsed="false">
      <c r="A33" s="1" t="s">
        <v>33</v>
      </c>
      <c r="B33" s="6" t="n">
        <v>47543</v>
      </c>
      <c r="C33" s="1" t="n">
        <v>55.47</v>
      </c>
    </row>
    <row r="34" customFormat="false" ht="12.8" hidden="false" customHeight="true" outlineLevel="0" collapsed="false">
      <c r="A34" s="1" t="s">
        <v>32</v>
      </c>
      <c r="B34" s="6" t="n">
        <v>47695</v>
      </c>
      <c r="C34" s="1" t="n">
        <v>17.6</v>
      </c>
    </row>
    <row r="35" customFormat="false" ht="12.8" hidden="false" customHeight="true" outlineLevel="0" collapsed="false">
      <c r="A35" s="1" t="s">
        <v>33</v>
      </c>
      <c r="B35" s="6" t="n">
        <v>47727</v>
      </c>
      <c r="C35" s="1" t="n">
        <v>55.47</v>
      </c>
    </row>
    <row r="36" customFormat="false" ht="12.8" hidden="false" customHeight="true" outlineLevel="0" collapsed="false">
      <c r="A36" s="1" t="s">
        <v>33</v>
      </c>
      <c r="B36" s="6" t="n">
        <v>47908</v>
      </c>
      <c r="C36" s="1" t="n">
        <v>55.47</v>
      </c>
    </row>
    <row r="37" customFormat="false" ht="12.8" hidden="false" customHeight="true" outlineLevel="0" collapsed="false">
      <c r="A37" s="1" t="s">
        <v>33</v>
      </c>
      <c r="B37" s="6" t="n">
        <v>48092</v>
      </c>
      <c r="C37" s="1" t="n">
        <v>55.47</v>
      </c>
    </row>
    <row r="38" customFormat="false" ht="12.8" hidden="false" customHeight="true" outlineLevel="0" collapsed="false">
      <c r="A38" s="1" t="s">
        <v>33</v>
      </c>
      <c r="B38" s="6" t="n">
        <v>48274</v>
      </c>
      <c r="C38" s="1" t="n">
        <v>55.47</v>
      </c>
    </row>
    <row r="39" customFormat="false" ht="12.8" hidden="false" customHeight="true" outlineLevel="0" collapsed="false">
      <c r="A39" s="1" t="s">
        <v>33</v>
      </c>
      <c r="B39" s="6" t="n">
        <v>48458</v>
      </c>
      <c r="C39" s="1" t="n">
        <v>55.47</v>
      </c>
    </row>
    <row r="40" customFormat="false" ht="12.8" hidden="false" customHeight="true" outlineLevel="0" collapsed="false">
      <c r="A40" s="1" t="s">
        <v>33</v>
      </c>
      <c r="B40" s="6" t="n">
        <v>48639</v>
      </c>
      <c r="C40" s="1" t="n">
        <v>55.47</v>
      </c>
    </row>
    <row r="41" customFormat="false" ht="12.8" hidden="false" customHeight="true" outlineLevel="0" collapsed="false">
      <c r="A41" s="1" t="s">
        <v>33</v>
      </c>
      <c r="B41" s="6" t="n">
        <v>48823</v>
      </c>
      <c r="C41" s="1" t="n">
        <v>55.47</v>
      </c>
    </row>
    <row r="42" customFormat="false" ht="12.8" hidden="false" customHeight="true" outlineLevel="0" collapsed="false">
      <c r="A42" s="1" t="s">
        <v>33</v>
      </c>
      <c r="B42" s="6" t="n">
        <v>49004</v>
      </c>
      <c r="C42" s="1" t="n">
        <v>55.47</v>
      </c>
    </row>
    <row r="43" customFormat="false" ht="12.8" hidden="false" customHeight="true" outlineLevel="0" collapsed="false">
      <c r="A43" s="1" t="s">
        <v>33</v>
      </c>
      <c r="B43" s="6" t="n">
        <v>49188</v>
      </c>
      <c r="C43" s="1" t="n">
        <v>55.47</v>
      </c>
    </row>
    <row r="44" customFormat="false" ht="12.8" hidden="false" customHeight="true" outlineLevel="0" collapsed="false">
      <c r="A44" s="1" t="s">
        <v>33</v>
      </c>
      <c r="B44" s="6" t="n">
        <v>49369</v>
      </c>
      <c r="C44" s="1" t="n">
        <v>55.47</v>
      </c>
    </row>
    <row r="45" customFormat="false" ht="12.8" hidden="false" customHeight="true" outlineLevel="0" collapsed="false">
      <c r="A45" s="1" t="s">
        <v>33</v>
      </c>
      <c r="B45" s="6" t="n">
        <v>49553</v>
      </c>
      <c r="C45" s="1" t="n">
        <v>55.47</v>
      </c>
    </row>
    <row r="46" customFormat="false" ht="12.8" hidden="false" customHeight="true" outlineLevel="0" collapsed="false">
      <c r="A46" s="1" t="s">
        <v>33</v>
      </c>
      <c r="B46" s="6" t="n">
        <v>49735</v>
      </c>
      <c r="C46" s="1" t="n">
        <v>55.47</v>
      </c>
    </row>
    <row r="47" customFormat="false" ht="12.8" hidden="false" customHeight="true" outlineLevel="0" collapsed="false">
      <c r="A47" s="1" t="s">
        <v>33</v>
      </c>
      <c r="B47" s="6" t="n">
        <v>49919</v>
      </c>
      <c r="C47" s="1" t="n">
        <v>55.47</v>
      </c>
    </row>
    <row r="48" customFormat="false" ht="12.8" hidden="false" customHeight="true" outlineLevel="0" collapsed="false">
      <c r="A48" s="1" t="s">
        <v>33</v>
      </c>
      <c r="B48" s="6" t="n">
        <v>50100</v>
      </c>
      <c r="C48" s="1" t="n">
        <v>55.47</v>
      </c>
    </row>
    <row r="49" customFormat="false" ht="12.8" hidden="false" customHeight="true" outlineLevel="0" collapsed="false">
      <c r="A49" s="1" t="s">
        <v>33</v>
      </c>
      <c r="B49" s="6" t="n">
        <v>50284</v>
      </c>
      <c r="C49" s="1" t="n">
        <v>55.47</v>
      </c>
    </row>
    <row r="50" customFormat="false" ht="12.8" hidden="false" customHeight="true" outlineLevel="0" collapsed="false">
      <c r="A50" s="1" t="s">
        <v>33</v>
      </c>
      <c r="B50" s="6" t="n">
        <v>50465</v>
      </c>
      <c r="C50" s="1" t="n">
        <v>55.47</v>
      </c>
    </row>
    <row r="51" customFormat="false" ht="12.8" hidden="false" customHeight="true" outlineLevel="0" collapsed="false">
      <c r="A51" s="1" t="s">
        <v>33</v>
      </c>
      <c r="B51" s="6" t="n">
        <v>50649</v>
      </c>
      <c r="C51" s="1" t="n">
        <v>55.47</v>
      </c>
    </row>
    <row r="52" customFormat="false" ht="12.8" hidden="false" customHeight="true" outlineLevel="0" collapsed="false">
      <c r="A52" s="1" t="s">
        <v>33</v>
      </c>
      <c r="B52" s="6" t="n">
        <v>50830</v>
      </c>
      <c r="C52" s="1" t="n">
        <v>55.47</v>
      </c>
    </row>
    <row r="53" customFormat="false" ht="12.8" hidden="false" customHeight="true" outlineLevel="0" collapsed="false">
      <c r="A53" s="1" t="s">
        <v>33</v>
      </c>
      <c r="B53" s="6" t="n">
        <v>51014</v>
      </c>
      <c r="C53" s="1" t="n">
        <v>55.47</v>
      </c>
    </row>
    <row r="54" customFormat="false" ht="12.8" hidden="false" customHeight="true" outlineLevel="0" collapsed="false">
      <c r="A54" s="1" t="s">
        <v>33</v>
      </c>
      <c r="B54" s="6" t="n">
        <v>51196</v>
      </c>
      <c r="C54" s="1" t="n">
        <v>55.47</v>
      </c>
    </row>
    <row r="55" customFormat="false" ht="12.8" hidden="false" customHeight="true" outlineLevel="0" collapsed="false">
      <c r="A55" s="1" t="s">
        <v>33</v>
      </c>
      <c r="B55" s="6" t="n">
        <v>51380</v>
      </c>
      <c r="C55" s="1" t="n">
        <v>55.47</v>
      </c>
    </row>
    <row r="56" customFormat="false" ht="12.8" hidden="false" customHeight="true" outlineLevel="0" collapsed="false">
      <c r="A56" s="1" t="s">
        <v>33</v>
      </c>
      <c r="B56" s="6" t="n">
        <v>51561</v>
      </c>
      <c r="C56" s="1" t="n">
        <v>55.47</v>
      </c>
    </row>
    <row r="57" customFormat="false" ht="12.8" hidden="false" customHeight="true" outlineLevel="0" collapsed="false">
      <c r="A57" s="1" t="s">
        <v>33</v>
      </c>
      <c r="B57" s="6" t="n">
        <v>51745</v>
      </c>
      <c r="C57" s="1" t="n">
        <v>55.47</v>
      </c>
    </row>
    <row r="58" customFormat="false" ht="12.8" hidden="false" customHeight="true" outlineLevel="0" collapsed="false">
      <c r="A58" s="1" t="s">
        <v>33</v>
      </c>
      <c r="B58" s="6" t="n">
        <v>51926</v>
      </c>
      <c r="C58" s="1" t="n">
        <v>55.47</v>
      </c>
    </row>
    <row r="59" customFormat="false" ht="12.8" hidden="false" customHeight="true" outlineLevel="0" collapsed="false">
      <c r="A59" s="1" t="s">
        <v>33</v>
      </c>
      <c r="B59" s="6" t="n">
        <v>52110</v>
      </c>
      <c r="C59" s="1" t="n">
        <v>55.47</v>
      </c>
    </row>
    <row r="60" customFormat="false" ht="12.8" hidden="false" customHeight="true" outlineLevel="0" collapsed="false">
      <c r="A60" s="1" t="s">
        <v>33</v>
      </c>
      <c r="B60" s="6" t="n">
        <v>52291</v>
      </c>
      <c r="C60" s="1" t="n">
        <v>55.47</v>
      </c>
    </row>
    <row r="61" customFormat="false" ht="12.8" hidden="false" customHeight="true" outlineLevel="0" collapsed="false">
      <c r="A61" s="1" t="s">
        <v>33</v>
      </c>
      <c r="B61" s="6" t="n">
        <v>52475</v>
      </c>
      <c r="C61" s="1" t="n">
        <v>55.47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  <c r="C1" s="1" t="s">
        <v>35</v>
      </c>
    </row>
    <row r="2" customFormat="false" ht="12.8" hidden="false" customHeight="false" outlineLevel="0" collapsed="false">
      <c r="A2" s="3" t="n">
        <v>45778</v>
      </c>
      <c r="B2" s="1" t="n">
        <v>10.4</v>
      </c>
      <c r="C2" s="1" t="s">
        <v>36</v>
      </c>
      <c r="G2" s="1"/>
    </row>
    <row r="3" customFormat="false" ht="12.8" hidden="false" customHeight="false" outlineLevel="0" collapsed="false">
      <c r="A3" s="3" t="n">
        <v>45748</v>
      </c>
      <c r="B3" s="1" t="n">
        <v>12.05</v>
      </c>
      <c r="C3" s="1" t="s">
        <v>36</v>
      </c>
      <c r="G3" s="1"/>
    </row>
    <row r="4" customFormat="false" ht="12.8" hidden="false" customHeight="false" outlineLevel="0" collapsed="false">
      <c r="A4" s="3" t="n">
        <v>45717</v>
      </c>
      <c r="B4" s="1" t="n">
        <v>16.91</v>
      </c>
      <c r="C4" s="1" t="s">
        <v>36</v>
      </c>
    </row>
    <row r="5" customFormat="false" ht="12.8" hidden="false" customHeight="false" outlineLevel="0" collapsed="false">
      <c r="A5" s="3" t="n">
        <v>45689</v>
      </c>
      <c r="B5" s="1" t="n">
        <v>19.83</v>
      </c>
      <c r="C5" s="1" t="s">
        <v>36</v>
      </c>
    </row>
    <row r="6" customFormat="false" ht="12.8" hidden="false" customHeight="false" outlineLevel="0" collapsed="false">
      <c r="A6" s="3" t="n">
        <v>45689</v>
      </c>
      <c r="B6" s="1" t="n">
        <v>19.83</v>
      </c>
      <c r="C6" s="1" t="s">
        <v>36</v>
      </c>
    </row>
    <row r="7" customFormat="false" ht="12.8" hidden="false" customHeight="false" outlineLevel="0" collapsed="false">
      <c r="A7" s="3" t="n">
        <v>45722</v>
      </c>
      <c r="B7" s="1" t="n">
        <v>7.42</v>
      </c>
      <c r="C7" s="1" t="s">
        <v>37</v>
      </c>
    </row>
    <row r="8" customFormat="false" ht="12.8" hidden="false" customHeight="false" outlineLevel="0" collapsed="false">
      <c r="A8" s="3" t="n">
        <v>45701</v>
      </c>
      <c r="B8" s="1" t="n">
        <v>0.17</v>
      </c>
      <c r="C8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92"/>
    <col collapsed="false" customWidth="true" hidden="false" outlineLevel="0" max="3" min="3" style="1" width="19.21"/>
    <col collapsed="false" customWidth="false" hidden="false" outlineLevel="0" max="4" min="4" style="1" width="11.53"/>
    <col collapsed="false" customWidth="true" hidden="false" outlineLevel="0" max="7" min="7" style="1" width="16.43"/>
    <col collapsed="false" customWidth="true" hidden="false" outlineLevel="0" max="9" min="9" style="1" width="16.18"/>
  </cols>
  <sheetData>
    <row r="1" customFormat="false" ht="12.8" hidden="false" customHeight="true" outlineLevel="0" collapsed="false">
      <c r="A1" s="1" t="s">
        <v>29</v>
      </c>
      <c r="B1" s="1" t="s">
        <v>38</v>
      </c>
      <c r="C1" s="1" t="s">
        <v>39</v>
      </c>
      <c r="D1" s="1" t="s">
        <v>40</v>
      </c>
      <c r="E1" s="7" t="s">
        <v>41</v>
      </c>
      <c r="F1" s="1" t="s">
        <v>5</v>
      </c>
      <c r="G1" s="1" t="s">
        <v>42</v>
      </c>
      <c r="H1" s="1" t="s">
        <v>43</v>
      </c>
      <c r="I1" s="1" t="s">
        <v>44</v>
      </c>
    </row>
    <row r="2" customFormat="false" ht="12.8" hidden="false" customHeight="true" outlineLevel="0" collapsed="false">
      <c r="A2" s="1" t="s">
        <v>33</v>
      </c>
      <c r="B2" s="1" t="s">
        <v>45</v>
      </c>
      <c r="C2" s="1" t="s">
        <v>46</v>
      </c>
      <c r="D2" s="1" t="s">
        <v>47</v>
      </c>
      <c r="E2" s="6" t="n">
        <v>45565</v>
      </c>
      <c r="F2" s="1" t="s">
        <v>10</v>
      </c>
      <c r="H2" s="1" t="n">
        <v>2500</v>
      </c>
    </row>
    <row r="3" customFormat="false" ht="12.8" hidden="false" customHeight="true" outlineLevel="0" collapsed="false">
      <c r="A3" s="1" t="s">
        <v>31</v>
      </c>
      <c r="B3" s="1" t="s">
        <v>48</v>
      </c>
      <c r="C3" s="1" t="s">
        <v>46</v>
      </c>
      <c r="D3" s="1" t="s">
        <v>47</v>
      </c>
      <c r="E3" s="7" t="n">
        <v>47118</v>
      </c>
      <c r="F3" s="1" t="s">
        <v>10</v>
      </c>
      <c r="H3" s="1" t="n">
        <v>500</v>
      </c>
    </row>
    <row r="4" customFormat="false" ht="12.8" hidden="false" customHeight="false" outlineLevel="0" collapsed="false">
      <c r="A4" s="1" t="s">
        <v>34</v>
      </c>
      <c r="B4" s="1" t="s">
        <v>49</v>
      </c>
      <c r="C4" s="1" t="s">
        <v>50</v>
      </c>
      <c r="D4" s="1" t="s">
        <v>51</v>
      </c>
      <c r="E4" s="7" t="n">
        <v>47118</v>
      </c>
      <c r="F4" s="1" t="s">
        <v>10</v>
      </c>
      <c r="H4" s="1" t="n">
        <v>1000</v>
      </c>
    </row>
    <row r="5" customFormat="false" ht="12.8" hidden="false" customHeight="false" outlineLevel="0" collapsed="false">
      <c r="A5" s="1" t="s">
        <v>32</v>
      </c>
      <c r="B5" s="1" t="s">
        <v>52</v>
      </c>
      <c r="C5" s="1" t="s">
        <v>53</v>
      </c>
      <c r="D5" s="1" t="s">
        <v>51</v>
      </c>
      <c r="E5" s="6" t="n">
        <v>47695</v>
      </c>
      <c r="F5" s="1" t="s">
        <v>10</v>
      </c>
      <c r="H5" s="1" t="n">
        <v>1000</v>
      </c>
    </row>
    <row r="8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LibreOffice/25.2.1.2$MacOSX_AARCH64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2025-05-08T21:56:07Z</dcterms:created>
  <dc:creator/>
  <dc:description/>
  <dc:language>en-US</dc:language>
  <cp:lastModifiedBy/>
  <dcterms:modified xsi:type="dcterms:W3CDTF">2025-06-09T13:03:30Z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